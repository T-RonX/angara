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angara\"/>
    </mc:Choice>
  </mc:AlternateContent>
  <xr:revisionPtr revIDLastSave="0" documentId="13_ncr:1_{0FA2F561-DBEB-4693-9B9F-C014722E196A}" xr6:coauthVersionLast="47" xr6:coauthVersionMax="47" xr10:uidLastSave="{00000000-0000-0000-0000-000000000000}"/>
  <bookViews>
    <workbookView xWindow="-103" yWindow="-103" windowWidth="33120" windowHeight="18120" xr2:uid="{6A31E48E-D625-461D-9ED4-E3FE1FF186C3}"/>
  </bookViews>
  <sheets>
    <sheet name="Layer flow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6" i="1" l="1"/>
  <c r="S26" i="1" s="1"/>
  <c r="O32" i="1"/>
  <c r="O31" i="1"/>
  <c r="O27" i="1"/>
  <c r="D32" i="1"/>
  <c r="D31" i="1"/>
  <c r="D27" i="1"/>
  <c r="D26" i="1"/>
  <c r="E32" i="1"/>
  <c r="E31" i="1"/>
  <c r="P32" i="1"/>
  <c r="P31" i="1"/>
  <c r="P27" i="1"/>
  <c r="E27" i="1"/>
  <c r="E26" i="1"/>
  <c r="C26" i="1"/>
  <c r="N32" i="1"/>
  <c r="N31" i="1"/>
  <c r="C32" i="1"/>
  <c r="C31" i="1"/>
  <c r="N27" i="1"/>
  <c r="C27" i="1"/>
  <c r="N26" i="1"/>
  <c r="F16" i="1"/>
  <c r="G16" i="1" s="1"/>
  <c r="E16" i="1"/>
  <c r="N21" i="1"/>
  <c r="O21" i="1" s="1"/>
  <c r="N20" i="1"/>
  <c r="O20" i="1" s="1"/>
  <c r="N16" i="1"/>
  <c r="O16" i="1" s="1"/>
  <c r="N15" i="1"/>
  <c r="O15" i="1" s="1"/>
  <c r="F21" i="1"/>
  <c r="G21" i="1" s="1"/>
  <c r="F20" i="1"/>
  <c r="G20" i="1" s="1"/>
  <c r="F15" i="1"/>
  <c r="G15" i="1" s="1"/>
  <c r="M16" i="1"/>
  <c r="M15" i="1"/>
  <c r="M20" i="1"/>
  <c r="M21" i="1"/>
  <c r="E21" i="1"/>
  <c r="E20" i="1"/>
  <c r="I31" i="1" s="1"/>
  <c r="E15" i="1"/>
  <c r="J38" i="1"/>
  <c r="J37" i="1"/>
  <c r="C38" i="1"/>
  <c r="C37" i="1"/>
  <c r="O26" i="1" l="1"/>
  <c r="I26" i="1"/>
  <c r="G31" i="1"/>
  <c r="H26" i="1"/>
  <c r="G26" i="1"/>
  <c r="H31" i="1"/>
  <c r="T27" i="1"/>
  <c r="S27" i="1"/>
  <c r="R27" i="1"/>
  <c r="R26" i="1"/>
  <c r="T26" i="1"/>
  <c r="B61" i="1" s="1"/>
  <c r="R32" i="1"/>
  <c r="S32" i="1"/>
  <c r="T32" i="1"/>
  <c r="B37" i="1"/>
  <c r="D37" i="1" s="1"/>
  <c r="G27" i="1"/>
  <c r="B38" i="1"/>
  <c r="D38" i="1" s="1"/>
  <c r="I27" i="1"/>
  <c r="H27" i="1"/>
  <c r="G32" i="1"/>
  <c r="I32" i="1"/>
  <c r="I38" i="1"/>
  <c r="H32" i="1"/>
  <c r="C49" i="1"/>
  <c r="C50" i="1"/>
  <c r="C60" i="1" l="1"/>
  <c r="E38" i="1"/>
  <c r="F38" i="1" s="1"/>
  <c r="E37" i="1"/>
  <c r="F37" i="1" s="1"/>
  <c r="N61" i="1"/>
  <c r="O60" i="1"/>
  <c r="F61" i="1"/>
  <c r="G60" i="1"/>
  <c r="B50" i="1"/>
  <c r="D50" i="1" s="1"/>
  <c r="E73" i="1" s="1"/>
  <c r="F73" i="1" s="1"/>
  <c r="G73" i="1" s="1"/>
  <c r="K38" i="1"/>
  <c r="F67" i="1" s="1"/>
  <c r="C55" i="1" l="1"/>
  <c r="B54" i="1"/>
  <c r="C54" i="1"/>
  <c r="B55" i="1"/>
  <c r="G66" i="1"/>
  <c r="B73" i="1"/>
  <c r="L38" i="1"/>
  <c r="M38" i="1" s="1"/>
  <c r="C73" i="1"/>
  <c r="D73" i="1"/>
  <c r="I37" i="1"/>
  <c r="B49" i="1" s="1"/>
  <c r="D49" i="1" s="1"/>
  <c r="E72" i="1" s="1"/>
  <c r="T31" i="1"/>
  <c r="S31" i="1"/>
  <c r="R31" i="1"/>
  <c r="K60" i="1" l="1"/>
  <c r="J61" i="1"/>
  <c r="C45" i="1"/>
  <c r="C42" i="1"/>
  <c r="D72" i="1"/>
  <c r="F72" i="1"/>
  <c r="G72" i="1" s="1"/>
  <c r="C72" i="1"/>
  <c r="K37" i="1"/>
  <c r="L37" i="1" l="1"/>
  <c r="M37" i="1" s="1"/>
  <c r="B67" i="1"/>
  <c r="C66" i="1"/>
  <c r="B72" i="1"/>
  <c r="C44" i="1" l="1"/>
  <c r="D54" i="1"/>
  <c r="E55" i="1"/>
  <c r="D55" i="1"/>
  <c r="E54" i="1"/>
  <c r="C43" i="1"/>
</calcChain>
</file>

<file path=xl/sharedStrings.xml><?xml version="1.0" encoding="utf-8"?>
<sst xmlns="http://schemas.openxmlformats.org/spreadsheetml/2006/main" count="203" uniqueCount="80">
  <si>
    <t>O1</t>
  </si>
  <si>
    <t>O2</t>
  </si>
  <si>
    <t>S1O1</t>
  </si>
  <si>
    <t>S1O2</t>
  </si>
  <si>
    <t>S2O1</t>
  </si>
  <si>
    <t>S2O2</t>
  </si>
  <si>
    <t>Supply</t>
  </si>
  <si>
    <t>Demand</t>
  </si>
  <si>
    <t>R1</t>
  </si>
  <si>
    <t>R2</t>
  </si>
  <si>
    <t>Resource</t>
  </si>
  <si>
    <t>S1</t>
  </si>
  <si>
    <t>Imbalance</t>
  </si>
  <si>
    <t>S2</t>
  </si>
  <si>
    <t>Surplus</t>
  </si>
  <si>
    <t>Deficit</t>
  </si>
  <si>
    <t xml:space="preserve">Distribution max S1, R1 </t>
  </si>
  <si>
    <t xml:space="preserve">Distribution max S1, R2 </t>
  </si>
  <si>
    <t xml:space="preserve">Distribution max S2, R1 </t>
  </si>
  <si>
    <t xml:space="preserve">Distribution max S2, R2 </t>
  </si>
  <si>
    <t>Layer 1 (production, system S, object O)</t>
  </si>
  <si>
    <t>Stabilization requirement</t>
  </si>
  <si>
    <t>Layer 2 (flow, inter object (O))</t>
  </si>
  <si>
    <t>Layer 3 (flow, inter system (S))</t>
  </si>
  <si>
    <t>Layer 4 (pressure, global)</t>
  </si>
  <si>
    <t>Introduce</t>
  </si>
  <si>
    <t>Expire</t>
  </si>
  <si>
    <t>Total</t>
  </si>
  <si>
    <t>Scarcity Index</t>
  </si>
  <si>
    <t>Resources properties</t>
  </si>
  <si>
    <t>Desired scarcity index</t>
  </si>
  <si>
    <t>Pressure</t>
  </si>
  <si>
    <t>Nudge</t>
  </si>
  <si>
    <t>deposit</t>
  </si>
  <si>
    <t>flow</t>
  </si>
  <si>
    <t>Type</t>
  </si>
  <si>
    <t>Reserves</t>
  </si>
  <si>
    <t>Rate</t>
  </si>
  <si>
    <t>Extract Rate</t>
  </si>
  <si>
    <t>Layer 0 (physical)</t>
  </si>
  <si>
    <t>Regen Rate</t>
  </si>
  <si>
    <t>S101</t>
  </si>
  <si>
    <t>S102</t>
  </si>
  <si>
    <t>S201</t>
  </si>
  <si>
    <t>S202</t>
  </si>
  <si>
    <t>Depletion rate</t>
  </si>
  <si>
    <t>Ticks left</t>
  </si>
  <si>
    <t>Local SI</t>
  </si>
  <si>
    <t>Base price</t>
  </si>
  <si>
    <t>Local price</t>
  </si>
  <si>
    <t>Exchange rates</t>
  </si>
  <si>
    <t xml:space="preserve">R1 from S1 </t>
  </si>
  <si>
    <t>R2 at S2</t>
  </si>
  <si>
    <t>R2 per R1</t>
  </si>
  <si>
    <t>R1 at S2</t>
  </si>
  <si>
    <t>R2 from S1</t>
  </si>
  <si>
    <t>R1 from S2</t>
  </si>
  <si>
    <t>R2 from S2</t>
  </si>
  <si>
    <t>R2 at S1</t>
  </si>
  <si>
    <t>R1 at S1</t>
  </si>
  <si>
    <t>Offer</t>
  </si>
  <si>
    <t>Receive</t>
  </si>
  <si>
    <t>R1 per R2</t>
  </si>
  <si>
    <t>Price SI sensitivity (~0.5 to ~2.0)</t>
  </si>
  <si>
    <t xml:space="preserve">Distribution max R2 </t>
  </si>
  <si>
    <t xml:space="preserve">Distribution max R1 </t>
  </si>
  <si>
    <t>Components</t>
  </si>
  <si>
    <t>C1</t>
  </si>
  <si>
    <t>C2</t>
  </si>
  <si>
    <t>Input 1</t>
  </si>
  <si>
    <t>Input 2</t>
  </si>
  <si>
    <t>Quantity</t>
  </si>
  <si>
    <t>Component cost (should be calculated per O in runtime)</t>
  </si>
  <si>
    <t>Storage decay rate</t>
  </si>
  <si>
    <t>Note</t>
  </si>
  <si>
    <t>Dacaying resource higher price SI sensitivity. fresh vs spoiled</t>
  </si>
  <si>
    <t>Storage capacity</t>
  </si>
  <si>
    <t>Stock</t>
  </si>
  <si>
    <t>Ticks to full/empty</t>
  </si>
  <si>
    <t>System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</si>
</sst>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_ ;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4" borderId="0" xfId="3" applyAlignment="1">
      <alignment horizontal="left"/>
    </xf>
    <xf numFmtId="0" fontId="0" fillId="4" borderId="0" xfId="3" applyFont="1" applyAlignment="1">
      <alignment horizontal="left"/>
    </xf>
    <xf numFmtId="0" fontId="1" fillId="3" borderId="0" xfId="2" applyAlignment="1">
      <alignment horizontal="left"/>
    </xf>
    <xf numFmtId="0" fontId="0" fillId="3" borderId="0" xfId="2" applyFont="1" applyAlignment="1">
      <alignment horizontal="left"/>
    </xf>
    <xf numFmtId="0" fontId="2" fillId="0" borderId="0" xfId="0" applyFont="1" applyAlignment="1">
      <alignment horizontal="left"/>
    </xf>
    <xf numFmtId="0" fontId="1" fillId="5" borderId="0" xfId="4" applyAlignment="1">
      <alignment horizontal="left"/>
    </xf>
    <xf numFmtId="0" fontId="0" fillId="5" borderId="0" xfId="4" applyFont="1" applyAlignment="1">
      <alignment horizontal="left"/>
    </xf>
    <xf numFmtId="0" fontId="1" fillId="2" borderId="0" xfId="1" applyAlignment="1">
      <alignment horizontal="left"/>
    </xf>
    <xf numFmtId="0" fontId="1" fillId="6" borderId="0" xfId="5" applyAlignment="1">
      <alignment horizontal="left"/>
    </xf>
    <xf numFmtId="2" fontId="1" fillId="6" borderId="0" xfId="5" applyNumberFormat="1" applyAlignment="1">
      <alignment horizontal="left"/>
    </xf>
    <xf numFmtId="164" fontId="1" fillId="4" borderId="0" xfId="3" applyNumberFormat="1" applyAlignment="1">
      <alignment horizontal="left"/>
    </xf>
    <xf numFmtId="164" fontId="1" fillId="3" borderId="0" xfId="2" applyNumberFormat="1" applyAlignment="1">
      <alignment horizontal="left"/>
    </xf>
    <xf numFmtId="164" fontId="1" fillId="5" borderId="0" xfId="4" applyNumberFormat="1" applyAlignment="1">
      <alignment horizontal="left"/>
    </xf>
    <xf numFmtId="2" fontId="1" fillId="4" borderId="0" xfId="3" applyNumberFormat="1" applyAlignment="1">
      <alignment horizontal="left"/>
    </xf>
    <xf numFmtId="2" fontId="1" fillId="3" borderId="0" xfId="2" applyNumberFormat="1" applyAlignment="1">
      <alignment horizontal="left"/>
    </xf>
    <xf numFmtId="165" fontId="1" fillId="4" borderId="0" xfId="3" applyNumberFormat="1" applyAlignment="1">
      <alignment horizontal="left"/>
    </xf>
    <xf numFmtId="165" fontId="1" fillId="3" borderId="0" xfId="2" applyNumberFormat="1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/>
  </cellXfs>
  <cellStyles count="6">
    <cellStyle name="20% - Accent1" xfId="1" builtinId="30"/>
    <cellStyle name="20% - Accent2" xfId="2" builtinId="34"/>
    <cellStyle name="20% - Accent3" xfId="5" builtinId="38"/>
    <cellStyle name="20% - Accent4" xfId="3" builtinId="42"/>
    <cellStyle name="20% - Accent6" xfId="4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6564-E457-476F-97E2-5DC30185CE97}">
  <dimension ref="A1:T73"/>
  <sheetViews>
    <sheetView tabSelected="1" zoomScale="85" zoomScaleNormal="85" workbookViewId="0">
      <selection activeCell="E15" sqref="E15"/>
    </sheetView>
  </sheetViews>
  <sheetFormatPr defaultRowHeight="14.6" x14ac:dyDescent="0.4"/>
  <cols>
    <col min="1" max="1" width="17.3046875" style="1" bestFit="1" customWidth="1"/>
    <col min="2" max="2" width="15.4609375" style="1" customWidth="1"/>
    <col min="3" max="3" width="7.84375" style="1" customWidth="1"/>
    <col min="4" max="4" width="12.3828125" style="1" customWidth="1"/>
    <col min="5" max="5" width="9.53515625" style="1" customWidth="1"/>
    <col min="6" max="6" width="12.765625" style="1" customWidth="1"/>
    <col min="7" max="7" width="13.23046875" style="1" customWidth="1"/>
    <col min="8" max="8" width="9.3828125" style="1" bestFit="1" customWidth="1"/>
    <col min="9" max="9" width="13.53515625" style="1" customWidth="1"/>
    <col min="10" max="10" width="10.921875" style="1" customWidth="1"/>
    <col min="11" max="11" width="13.69140625" style="1" bestFit="1" customWidth="1"/>
    <col min="12" max="12" width="10.69140625" style="1" bestFit="1" customWidth="1"/>
    <col min="13" max="13" width="12.84375" style="1" customWidth="1"/>
    <col min="14" max="14" width="9.84375" style="1" customWidth="1"/>
    <col min="15" max="15" width="13.69140625" style="1" customWidth="1"/>
    <col min="16" max="16" width="7.15234375" style="1" customWidth="1"/>
    <col min="17" max="17" width="9.53515625" style="1" customWidth="1"/>
    <col min="18" max="18" width="6.15234375" style="1" customWidth="1"/>
    <col min="19" max="19" width="13.23046875" style="1" customWidth="1"/>
    <col min="20" max="16384" width="9.23046875" style="1"/>
  </cols>
  <sheetData>
    <row r="1" spans="1:15" s="6" customFormat="1" x14ac:dyDescent="0.4">
      <c r="A1" s="6" t="s">
        <v>39</v>
      </c>
    </row>
    <row r="2" spans="1:15" x14ac:dyDescent="0.4">
      <c r="A2" s="6" t="s">
        <v>29</v>
      </c>
    </row>
    <row r="3" spans="1:15" x14ac:dyDescent="0.4">
      <c r="A3" s="10"/>
      <c r="B3" s="10" t="s">
        <v>30</v>
      </c>
      <c r="C3" s="10" t="s">
        <v>35</v>
      </c>
      <c r="D3" s="10" t="s">
        <v>48</v>
      </c>
      <c r="E3" s="10" t="s">
        <v>63</v>
      </c>
      <c r="F3" s="10" t="s">
        <v>73</v>
      </c>
      <c r="G3" s="10" t="s">
        <v>74</v>
      </c>
    </row>
    <row r="4" spans="1:15" x14ac:dyDescent="0.4">
      <c r="A4" s="10" t="s">
        <v>8</v>
      </c>
      <c r="B4" s="10">
        <v>-0.1</v>
      </c>
      <c r="C4" s="10" t="s">
        <v>33</v>
      </c>
      <c r="D4" s="10">
        <v>1</v>
      </c>
      <c r="E4" s="10">
        <v>1</v>
      </c>
      <c r="F4" s="10">
        <v>0</v>
      </c>
      <c r="G4" s="10"/>
    </row>
    <row r="5" spans="1:15" x14ac:dyDescent="0.4">
      <c r="A5" s="10" t="s">
        <v>9</v>
      </c>
      <c r="B5" s="10">
        <v>-0.1</v>
      </c>
      <c r="C5" s="10" t="s">
        <v>34</v>
      </c>
      <c r="D5" s="10">
        <v>2</v>
      </c>
      <c r="E5" s="10">
        <v>1.3</v>
      </c>
      <c r="F5" s="10">
        <v>0.02</v>
      </c>
      <c r="G5" s="10" t="s">
        <v>75</v>
      </c>
    </row>
    <row r="6" spans="1:15" x14ac:dyDescent="0.4">
      <c r="A6"/>
      <c r="B6"/>
      <c r="C6"/>
      <c r="D6"/>
      <c r="E6"/>
    </row>
    <row r="7" spans="1:15" x14ac:dyDescent="0.4">
      <c r="A7" s="6" t="s">
        <v>66</v>
      </c>
      <c r="B7" s="6"/>
      <c r="C7" s="6"/>
      <c r="D7" s="6"/>
    </row>
    <row r="8" spans="1:15" x14ac:dyDescent="0.4">
      <c r="A8" s="10"/>
      <c r="B8" s="10" t="s">
        <v>69</v>
      </c>
      <c r="C8" s="10" t="s">
        <v>71</v>
      </c>
      <c r="D8" s="10" t="s">
        <v>70</v>
      </c>
      <c r="E8" s="10" t="s">
        <v>71</v>
      </c>
    </row>
    <row r="9" spans="1:15" x14ac:dyDescent="0.4">
      <c r="A9" s="10" t="s">
        <v>67</v>
      </c>
      <c r="B9" s="10" t="s">
        <v>8</v>
      </c>
      <c r="C9" s="10">
        <v>5</v>
      </c>
      <c r="D9" s="10" t="s">
        <v>9</v>
      </c>
      <c r="E9" s="10">
        <v>2</v>
      </c>
    </row>
    <row r="10" spans="1:15" x14ac:dyDescent="0.4">
      <c r="A10" s="10" t="s">
        <v>68</v>
      </c>
      <c r="B10" s="10" t="s">
        <v>8</v>
      </c>
      <c r="C10" s="10">
        <v>20</v>
      </c>
      <c r="D10" s="10" t="s">
        <v>9</v>
      </c>
      <c r="E10" s="10">
        <v>10</v>
      </c>
    </row>
    <row r="11" spans="1:15" x14ac:dyDescent="0.4">
      <c r="A11"/>
      <c r="B11"/>
      <c r="C11"/>
      <c r="D11"/>
      <c r="E11"/>
    </row>
    <row r="13" spans="1:15" x14ac:dyDescent="0.4">
      <c r="A13" s="10" t="s">
        <v>41</v>
      </c>
      <c r="B13" s="10"/>
      <c r="C13" s="10"/>
      <c r="D13" s="10"/>
      <c r="E13" s="10"/>
      <c r="F13" s="10"/>
      <c r="G13" s="10"/>
      <c r="I13" s="10" t="s">
        <v>42</v>
      </c>
      <c r="J13" s="10"/>
      <c r="K13" s="10"/>
      <c r="L13" s="10"/>
      <c r="M13" s="10"/>
      <c r="N13" s="10"/>
      <c r="O13" s="10"/>
    </row>
    <row r="14" spans="1:15" x14ac:dyDescent="0.4">
      <c r="A14" s="10" t="s">
        <v>10</v>
      </c>
      <c r="B14" s="10" t="s">
        <v>36</v>
      </c>
      <c r="C14" s="10" t="s">
        <v>40</v>
      </c>
      <c r="D14" s="10" t="s">
        <v>38</v>
      </c>
      <c r="E14" s="10" t="s">
        <v>6</v>
      </c>
      <c r="F14" s="10" t="s">
        <v>45</v>
      </c>
      <c r="G14" s="10" t="s">
        <v>46</v>
      </c>
      <c r="I14" s="10" t="s">
        <v>10</v>
      </c>
      <c r="J14" s="10" t="s">
        <v>36</v>
      </c>
      <c r="K14" s="10" t="s">
        <v>40</v>
      </c>
      <c r="L14" s="10" t="s">
        <v>38</v>
      </c>
      <c r="M14" s="10" t="s">
        <v>6</v>
      </c>
      <c r="N14" s="10" t="s">
        <v>45</v>
      </c>
      <c r="O14" s="10" t="s">
        <v>46</v>
      </c>
    </row>
    <row r="15" spans="1:15" x14ac:dyDescent="0.4">
      <c r="A15" s="10" t="s">
        <v>8</v>
      </c>
      <c r="B15" s="10">
        <v>1000</v>
      </c>
      <c r="C15" s="10">
        <v>0</v>
      </c>
      <c r="D15" s="10">
        <v>100</v>
      </c>
      <c r="E15" s="10">
        <f>MIN(D15,C15 + B15)</f>
        <v>100</v>
      </c>
      <c r="F15" s="10">
        <f>D15-C15</f>
        <v>100</v>
      </c>
      <c r="G15" s="11">
        <f>(B15+C15)/F15</f>
        <v>10</v>
      </c>
      <c r="I15" s="10" t="s">
        <v>8</v>
      </c>
      <c r="J15" s="10">
        <v>1000</v>
      </c>
      <c r="K15" s="10">
        <v>0</v>
      </c>
      <c r="L15" s="10">
        <v>10</v>
      </c>
      <c r="M15" s="10">
        <f>MIN(L15,K15 + J15)</f>
        <v>10</v>
      </c>
      <c r="N15" s="10">
        <f>L15-K15</f>
        <v>10</v>
      </c>
      <c r="O15" s="11">
        <f>(J15+K15)/N15</f>
        <v>100</v>
      </c>
    </row>
    <row r="16" spans="1:15" x14ac:dyDescent="0.4">
      <c r="A16" s="10" t="s">
        <v>9</v>
      </c>
      <c r="B16" s="10">
        <v>0</v>
      </c>
      <c r="C16" s="10">
        <v>50</v>
      </c>
      <c r="D16" s="10">
        <v>40</v>
      </c>
      <c r="E16" s="10">
        <f>MIN(D16,C16 + B16)</f>
        <v>40</v>
      </c>
      <c r="F16" s="10">
        <f>D16-C16</f>
        <v>-10</v>
      </c>
      <c r="G16" s="11">
        <f>(B16)/F16</f>
        <v>0</v>
      </c>
      <c r="I16" s="10" t="s">
        <v>9</v>
      </c>
      <c r="J16" s="10">
        <v>10000</v>
      </c>
      <c r="K16" s="10">
        <v>0</v>
      </c>
      <c r="L16" s="10">
        <v>60</v>
      </c>
      <c r="M16" s="10">
        <f>MIN(L16,K16 + J16)</f>
        <v>60</v>
      </c>
      <c r="N16" s="10">
        <f>L16-K16</f>
        <v>60</v>
      </c>
      <c r="O16" s="11">
        <f>(J16)/N16</f>
        <v>166.66666666666666</v>
      </c>
    </row>
    <row r="18" spans="1:20" x14ac:dyDescent="0.4">
      <c r="A18" s="10" t="s">
        <v>43</v>
      </c>
      <c r="B18" s="10"/>
      <c r="C18" s="10"/>
      <c r="D18" s="10"/>
      <c r="E18" s="10"/>
      <c r="F18" s="10"/>
      <c r="G18" s="10"/>
      <c r="I18" s="10" t="s">
        <v>44</v>
      </c>
      <c r="J18" s="10"/>
      <c r="K18" s="10"/>
      <c r="L18" s="10"/>
      <c r="M18" s="10"/>
      <c r="N18" s="10"/>
      <c r="O18" s="10"/>
    </row>
    <row r="19" spans="1:20" x14ac:dyDescent="0.4">
      <c r="A19" s="10" t="s">
        <v>10</v>
      </c>
      <c r="B19" s="10" t="s">
        <v>36</v>
      </c>
      <c r="C19" s="10" t="s">
        <v>40</v>
      </c>
      <c r="D19" s="10" t="s">
        <v>38</v>
      </c>
      <c r="E19" s="10" t="s">
        <v>6</v>
      </c>
      <c r="F19" s="10" t="s">
        <v>45</v>
      </c>
      <c r="G19" s="10" t="s">
        <v>46</v>
      </c>
      <c r="I19" s="10" t="s">
        <v>10</v>
      </c>
      <c r="J19" s="10" t="s">
        <v>36</v>
      </c>
      <c r="K19" s="10" t="s">
        <v>40</v>
      </c>
      <c r="L19" s="10" t="s">
        <v>38</v>
      </c>
      <c r="M19" s="10" t="s">
        <v>6</v>
      </c>
      <c r="N19" s="10" t="s">
        <v>45</v>
      </c>
      <c r="O19" s="10" t="s">
        <v>46</v>
      </c>
    </row>
    <row r="20" spans="1:20" x14ac:dyDescent="0.4">
      <c r="A20" s="10" t="s">
        <v>8</v>
      </c>
      <c r="B20" s="10">
        <v>1000</v>
      </c>
      <c r="C20" s="10">
        <v>0</v>
      </c>
      <c r="D20" s="10">
        <v>80</v>
      </c>
      <c r="E20" s="10">
        <f>MIN(D20,C20 + B20)</f>
        <v>80</v>
      </c>
      <c r="F20" s="10">
        <f>D20-C20</f>
        <v>80</v>
      </c>
      <c r="G20" s="11">
        <f>(B20+C20)/F20</f>
        <v>12.5</v>
      </c>
      <c r="I20" s="10" t="s">
        <v>8</v>
      </c>
      <c r="J20" s="10">
        <v>600</v>
      </c>
      <c r="K20" s="10">
        <v>0</v>
      </c>
      <c r="L20" s="10">
        <v>20</v>
      </c>
      <c r="M20" s="10">
        <f>MIN(L20,K20 + J20)</f>
        <v>20</v>
      </c>
      <c r="N20" s="10">
        <f>L20-K20</f>
        <v>20</v>
      </c>
      <c r="O20" s="11">
        <f>(J20+K20)/N20</f>
        <v>30</v>
      </c>
    </row>
    <row r="21" spans="1:20" x14ac:dyDescent="0.4">
      <c r="A21" s="10" t="s">
        <v>9</v>
      </c>
      <c r="B21" s="10">
        <v>1000</v>
      </c>
      <c r="C21" s="10">
        <v>50</v>
      </c>
      <c r="D21" s="10">
        <v>0</v>
      </c>
      <c r="E21" s="10">
        <f>MIN(D21,C21 + B21)</f>
        <v>0</v>
      </c>
      <c r="F21" s="10">
        <f>D21-C21</f>
        <v>-50</v>
      </c>
      <c r="G21" s="11">
        <f>(B21)/F21</f>
        <v>-20</v>
      </c>
      <c r="I21" s="10" t="s">
        <v>9</v>
      </c>
      <c r="J21" s="10">
        <v>6000</v>
      </c>
      <c r="K21" s="10">
        <v>50</v>
      </c>
      <c r="L21" s="10">
        <v>300</v>
      </c>
      <c r="M21" s="10">
        <f>MIN(L21,K21 + J21)</f>
        <v>300</v>
      </c>
      <c r="N21" s="10">
        <f>L21-K21</f>
        <v>250</v>
      </c>
      <c r="O21" s="11">
        <f>(J21)/N21</f>
        <v>24</v>
      </c>
    </row>
    <row r="23" spans="1:20" s="6" customFormat="1" x14ac:dyDescent="0.4">
      <c r="A23" s="6" t="s">
        <v>20</v>
      </c>
    </row>
    <row r="24" spans="1:20" x14ac:dyDescent="0.4">
      <c r="A24" s="2" t="s">
        <v>2</v>
      </c>
      <c r="B24" s="2"/>
      <c r="C24" s="2"/>
      <c r="D24" s="2"/>
      <c r="E24" s="2"/>
      <c r="F24" s="2"/>
      <c r="G24" s="2"/>
      <c r="H24" s="2"/>
      <c r="I24" s="2"/>
      <c r="L24" s="3" t="s">
        <v>3</v>
      </c>
      <c r="M24" s="2"/>
      <c r="N24" s="2"/>
      <c r="O24" s="2"/>
      <c r="P24" s="2"/>
      <c r="Q24" s="2"/>
      <c r="R24" s="2"/>
      <c r="S24" s="2"/>
      <c r="T24" s="2"/>
    </row>
    <row r="25" spans="1:20" x14ac:dyDescent="0.4">
      <c r="A25" s="2" t="s">
        <v>10</v>
      </c>
      <c r="B25" s="2" t="s">
        <v>76</v>
      </c>
      <c r="C25" s="2" t="s">
        <v>77</v>
      </c>
      <c r="D25" s="2" t="s">
        <v>78</v>
      </c>
      <c r="E25" s="2" t="s">
        <v>6</v>
      </c>
      <c r="F25" s="2" t="s">
        <v>7</v>
      </c>
      <c r="G25" s="2" t="s">
        <v>14</v>
      </c>
      <c r="H25" s="2" t="s">
        <v>15</v>
      </c>
      <c r="I25" s="2" t="s">
        <v>12</v>
      </c>
      <c r="L25" s="2" t="s">
        <v>10</v>
      </c>
      <c r="M25" s="2" t="s">
        <v>76</v>
      </c>
      <c r="N25" s="2" t="s">
        <v>77</v>
      </c>
      <c r="O25" s="2" t="s">
        <v>78</v>
      </c>
      <c r="P25" s="2" t="s">
        <v>6</v>
      </c>
      <c r="Q25" s="2" t="s">
        <v>7</v>
      </c>
      <c r="R25" s="3" t="s">
        <v>14</v>
      </c>
      <c r="S25" s="3" t="s">
        <v>15</v>
      </c>
      <c r="T25" s="2" t="s">
        <v>12</v>
      </c>
    </row>
    <row r="26" spans="1:20" x14ac:dyDescent="0.4">
      <c r="A26" s="2" t="s">
        <v>8</v>
      </c>
      <c r="B26" s="2">
        <v>500</v>
      </c>
      <c r="C26" s="2">
        <f>200 * (1 - $F$4)</f>
        <v>200</v>
      </c>
      <c r="D26" s="15">
        <f>IF((E26-F26)&gt;0,(B26-C26)/(E26-F26),C26/ABS(E26-F26))</f>
        <v>6</v>
      </c>
      <c r="E26" s="2">
        <f>MIN(E15, B26-C26)</f>
        <v>100</v>
      </c>
      <c r="F26" s="2">
        <v>50</v>
      </c>
      <c r="G26" s="2">
        <f>MAX(0, E26-F26)</f>
        <v>50</v>
      </c>
      <c r="H26" s="2">
        <f>MAX(0, F26-E26)</f>
        <v>0</v>
      </c>
      <c r="I26" s="2">
        <f>E26-F26</f>
        <v>50</v>
      </c>
      <c r="L26" s="2" t="s">
        <v>8</v>
      </c>
      <c r="M26" s="2">
        <v>200</v>
      </c>
      <c r="N26" s="2">
        <f>200 * (1 - $F$4)</f>
        <v>200</v>
      </c>
      <c r="O26" s="15">
        <f>IF((P26-Q26)&gt;0,(M26-N26)/(P26-Q26),N26/ABS(P26-Q26))</f>
        <v>20</v>
      </c>
      <c r="P26" s="2">
        <f>MIN(M15, M26-N26)</f>
        <v>0</v>
      </c>
      <c r="Q26" s="2">
        <v>10</v>
      </c>
      <c r="R26" s="2">
        <f>MAX(0, P26-Q26)</f>
        <v>0</v>
      </c>
      <c r="S26" s="2">
        <f>MAX(0, Q26-P26)</f>
        <v>10</v>
      </c>
      <c r="T26" s="2">
        <f>P26-Q26</f>
        <v>-10</v>
      </c>
    </row>
    <row r="27" spans="1:20" x14ac:dyDescent="0.4">
      <c r="A27" s="2" t="s">
        <v>9</v>
      </c>
      <c r="B27" s="2">
        <v>300</v>
      </c>
      <c r="C27" s="2">
        <f>150 * (1 - $F$5)</f>
        <v>147</v>
      </c>
      <c r="D27" s="15">
        <f>IF((E27-F27)&gt;0,(B27-C27)/(E27-F27),C27/ABS(E27-F27))</f>
        <v>14.7</v>
      </c>
      <c r="E27" s="2">
        <f>MIN(E16, B27-C27)</f>
        <v>40</v>
      </c>
      <c r="F27" s="2">
        <v>50</v>
      </c>
      <c r="G27" s="2">
        <f>MAX(0, E27-F27)</f>
        <v>0</v>
      </c>
      <c r="H27" s="2">
        <f>MAX(0, F27-E27)</f>
        <v>10</v>
      </c>
      <c r="I27" s="2">
        <f>E27-F27</f>
        <v>-10</v>
      </c>
      <c r="L27" s="2" t="s">
        <v>9</v>
      </c>
      <c r="M27" s="2">
        <v>60</v>
      </c>
      <c r="N27" s="2">
        <f>40 * (1 - $F$5)</f>
        <v>39.200000000000003</v>
      </c>
      <c r="O27" s="15">
        <f>IF((P27-Q27)&gt;0,(M27-N27)/(P27-Q27),N27/ABS(P27-Q27))</f>
        <v>1.9259259259259263</v>
      </c>
      <c r="P27" s="2">
        <f>MIN(M16, M27-N27)</f>
        <v>20.799999999999997</v>
      </c>
      <c r="Q27" s="2">
        <v>10</v>
      </c>
      <c r="R27" s="2">
        <f>MAX(0, P27-Q27)</f>
        <v>10.799999999999997</v>
      </c>
      <c r="S27" s="2">
        <f>MAX(0, Q27-P27)</f>
        <v>0</v>
      </c>
      <c r="T27" s="2">
        <f>P27-Q27</f>
        <v>10.799999999999997</v>
      </c>
    </row>
    <row r="29" spans="1:20" x14ac:dyDescent="0.4">
      <c r="A29" s="4" t="s">
        <v>4</v>
      </c>
      <c r="B29" s="4"/>
      <c r="C29" s="4"/>
      <c r="D29" s="4"/>
      <c r="E29" s="4"/>
      <c r="F29" s="4"/>
      <c r="G29" s="4"/>
      <c r="H29" s="4"/>
      <c r="I29" s="4"/>
      <c r="L29" s="4" t="s">
        <v>5</v>
      </c>
      <c r="M29" s="4"/>
      <c r="N29" s="4"/>
      <c r="O29" s="4"/>
      <c r="P29" s="4"/>
      <c r="Q29" s="4"/>
      <c r="R29" s="4"/>
      <c r="S29" s="4"/>
      <c r="T29" s="4"/>
    </row>
    <row r="30" spans="1:20" x14ac:dyDescent="0.4">
      <c r="A30" s="4" t="s">
        <v>10</v>
      </c>
      <c r="B30" s="4" t="s">
        <v>76</v>
      </c>
      <c r="C30" s="4" t="s">
        <v>77</v>
      </c>
      <c r="D30" s="4" t="s">
        <v>78</v>
      </c>
      <c r="E30" s="4" t="s">
        <v>6</v>
      </c>
      <c r="F30" s="4" t="s">
        <v>7</v>
      </c>
      <c r="G30" s="5" t="s">
        <v>14</v>
      </c>
      <c r="H30" s="5" t="s">
        <v>15</v>
      </c>
      <c r="I30" s="4" t="s">
        <v>12</v>
      </c>
      <c r="L30" s="4" t="s">
        <v>10</v>
      </c>
      <c r="M30" s="4" t="s">
        <v>76</v>
      </c>
      <c r="N30" s="4" t="s">
        <v>77</v>
      </c>
      <c r="O30" s="4" t="s">
        <v>78</v>
      </c>
      <c r="P30" s="4" t="s">
        <v>6</v>
      </c>
      <c r="Q30" s="4" t="s">
        <v>7</v>
      </c>
      <c r="R30" s="5" t="s">
        <v>14</v>
      </c>
      <c r="S30" s="5" t="s">
        <v>15</v>
      </c>
      <c r="T30" s="4" t="s">
        <v>12</v>
      </c>
    </row>
    <row r="31" spans="1:20" x14ac:dyDescent="0.4">
      <c r="A31" s="4" t="s">
        <v>8</v>
      </c>
      <c r="B31" s="4">
        <v>100</v>
      </c>
      <c r="C31" s="4">
        <f>0 * (1 - $F$4)</f>
        <v>0</v>
      </c>
      <c r="D31" s="16">
        <f>IF((E31-F31)&gt;0,(B31-C31)/(E31-F31),C31/ABS(E31-F31))</f>
        <v>0</v>
      </c>
      <c r="E31" s="4">
        <f>MIN(E20, B31-C31)</f>
        <v>80</v>
      </c>
      <c r="F31" s="4">
        <v>150</v>
      </c>
      <c r="G31" s="4">
        <f>MAX(0, E31-F31)</f>
        <v>0</v>
      </c>
      <c r="H31" s="4">
        <f>MAX(0, F31-E31)</f>
        <v>70</v>
      </c>
      <c r="I31" s="4">
        <f>E31-F31</f>
        <v>-70</v>
      </c>
      <c r="L31" s="4" t="s">
        <v>8</v>
      </c>
      <c r="M31" s="4">
        <v>1000</v>
      </c>
      <c r="N31" s="4">
        <f>900 * (1 - $F$4)</f>
        <v>900</v>
      </c>
      <c r="O31" s="16">
        <f>IF((P31-Q31)&gt;0,(M31-N31)/(P31-Q31),N31/ABS(P31-Q31))</f>
        <v>180</v>
      </c>
      <c r="P31" s="4">
        <f>MIN(M20, M31-N31)</f>
        <v>20</v>
      </c>
      <c r="Q31" s="4">
        <v>25</v>
      </c>
      <c r="R31" s="4">
        <f>MAX(0, P31-Q31)</f>
        <v>0</v>
      </c>
      <c r="S31" s="4">
        <f>MAX(0, Q31-P31)</f>
        <v>5</v>
      </c>
      <c r="T31" s="4">
        <f>P31-Q31</f>
        <v>-5</v>
      </c>
    </row>
    <row r="32" spans="1:20" x14ac:dyDescent="0.4">
      <c r="A32" s="4" t="s">
        <v>9</v>
      </c>
      <c r="B32" s="4">
        <v>500</v>
      </c>
      <c r="C32" s="4">
        <f>50 * (1 - $F$5)</f>
        <v>49</v>
      </c>
      <c r="D32" s="16">
        <f>IF((E32-F32)&gt;0,(B32-C32)/(E32-F32),C32/ABS(E32-F32))</f>
        <v>1.6333333333333333</v>
      </c>
      <c r="E32" s="4">
        <f>MIN(E21, B32-C32)</f>
        <v>0</v>
      </c>
      <c r="F32" s="4">
        <v>30</v>
      </c>
      <c r="G32" s="4">
        <f>MAX(0, E32-F32)</f>
        <v>0</v>
      </c>
      <c r="H32" s="4">
        <f>MAX(0, F32-E32)</f>
        <v>30</v>
      </c>
      <c r="I32" s="4">
        <f>E32-F32</f>
        <v>-30</v>
      </c>
      <c r="L32" s="4" t="s">
        <v>9</v>
      </c>
      <c r="M32" s="4">
        <v>450</v>
      </c>
      <c r="N32" s="4">
        <f>0 * (1 - $F$5)</f>
        <v>0</v>
      </c>
      <c r="O32" s="16">
        <f>IF((P32-Q32)&gt;0,(M32-N32)/(P32-Q32),N32/ABS(P32-Q32))</f>
        <v>1.5517241379310345</v>
      </c>
      <c r="P32" s="4">
        <f>MIN(M21, M32-N32)</f>
        <v>300</v>
      </c>
      <c r="Q32" s="4">
        <v>10</v>
      </c>
      <c r="R32" s="4">
        <f>MAX(0, P32-Q32)</f>
        <v>290</v>
      </c>
      <c r="S32" s="4">
        <f>MAX(0, Q32-P32)</f>
        <v>0</v>
      </c>
      <c r="T32" s="4">
        <f>P32-Q32</f>
        <v>290</v>
      </c>
    </row>
    <row r="34" spans="1:13" s="6" customFormat="1" x14ac:dyDescent="0.4">
      <c r="A34" s="6" t="s">
        <v>79</v>
      </c>
    </row>
    <row r="35" spans="1:13" x14ac:dyDescent="0.4">
      <c r="A35" s="2" t="s">
        <v>11</v>
      </c>
      <c r="B35" s="2"/>
      <c r="C35" s="2"/>
      <c r="D35" s="2"/>
      <c r="E35" s="2"/>
      <c r="F35" s="2"/>
      <c r="H35" s="5" t="s">
        <v>13</v>
      </c>
      <c r="I35" s="4"/>
      <c r="J35" s="4"/>
      <c r="K35" s="4"/>
      <c r="L35" s="4"/>
      <c r="M35" s="4"/>
    </row>
    <row r="36" spans="1:13" x14ac:dyDescent="0.4">
      <c r="A36" s="2" t="s">
        <v>10</v>
      </c>
      <c r="B36" s="2" t="s">
        <v>6</v>
      </c>
      <c r="C36" s="2" t="s">
        <v>7</v>
      </c>
      <c r="D36" s="2" t="s">
        <v>12</v>
      </c>
      <c r="E36" s="2" t="s">
        <v>47</v>
      </c>
      <c r="F36" s="2" t="s">
        <v>49</v>
      </c>
      <c r="H36" s="4" t="s">
        <v>10</v>
      </c>
      <c r="I36" s="4" t="s">
        <v>6</v>
      </c>
      <c r="J36" s="4" t="s">
        <v>7</v>
      </c>
      <c r="K36" s="4" t="s">
        <v>12</v>
      </c>
      <c r="L36" s="4" t="s">
        <v>47</v>
      </c>
      <c r="M36" s="4" t="s">
        <v>49</v>
      </c>
    </row>
    <row r="37" spans="1:13" x14ac:dyDescent="0.4">
      <c r="A37" s="2" t="s">
        <v>8</v>
      </c>
      <c r="B37" s="2">
        <f>E26+P26</f>
        <v>100</v>
      </c>
      <c r="C37" s="2">
        <f>F26+Q26</f>
        <v>60</v>
      </c>
      <c r="D37" s="2">
        <f>B37-C37</f>
        <v>40</v>
      </c>
      <c r="E37" s="12">
        <f>MAX(-1, MIN(1, D37 / MAX(C37, 0.001)))</f>
        <v>0.66666666666666663</v>
      </c>
      <c r="F37" s="17">
        <f>D4*EXP(-E4*E37)</f>
        <v>0.51341711903259202</v>
      </c>
      <c r="H37" s="4" t="s">
        <v>8</v>
      </c>
      <c r="I37" s="4">
        <f>E31+P31</f>
        <v>100</v>
      </c>
      <c r="J37" s="4">
        <f>F31+Q31</f>
        <v>175</v>
      </c>
      <c r="K37" s="4">
        <f>I37-J37</f>
        <v>-75</v>
      </c>
      <c r="L37" s="13">
        <f>MAX(-1, MIN(1, K37 / MAX(J37, 0.001)))</f>
        <v>-0.42857142857142855</v>
      </c>
      <c r="M37" s="18">
        <f>D4*EXP(-E4*L37)</f>
        <v>1.5350630092552098</v>
      </c>
    </row>
    <row r="38" spans="1:13" x14ac:dyDescent="0.4">
      <c r="A38" s="2" t="s">
        <v>9</v>
      </c>
      <c r="B38" s="2">
        <f>E27+P27</f>
        <v>60.8</v>
      </c>
      <c r="C38" s="2">
        <f>F27+Q27</f>
        <v>60</v>
      </c>
      <c r="D38" s="2">
        <f>B38-C38</f>
        <v>0.79999999999999716</v>
      </c>
      <c r="E38" s="12">
        <f>MAX(-1, MIN(1, D38 / MAX(C38, 0.001)))</f>
        <v>1.3333333333333286E-2</v>
      </c>
      <c r="F38" s="17">
        <f>D5*EXP(-E5*E38)</f>
        <v>1.9656320493727801</v>
      </c>
      <c r="H38" s="4" t="s">
        <v>9</v>
      </c>
      <c r="I38" s="4">
        <f>E32+P32</f>
        <v>300</v>
      </c>
      <c r="J38" s="4">
        <f>F32+Q32</f>
        <v>40</v>
      </c>
      <c r="K38" s="4">
        <f>I38-J38</f>
        <v>260</v>
      </c>
      <c r="L38" s="13">
        <f>MAX(-1, MIN(1, K38 / MAX(J38, 0.001)))</f>
        <v>1</v>
      </c>
      <c r="M38" s="18">
        <f>D5*EXP(-E5*L38)</f>
        <v>0.54506358606802519</v>
      </c>
    </row>
    <row r="39" spans="1:13" x14ac:dyDescent="0.4">
      <c r="A39" s="6"/>
    </row>
    <row r="40" spans="1:13" x14ac:dyDescent="0.4">
      <c r="A40" s="6" t="s">
        <v>50</v>
      </c>
    </row>
    <row r="41" spans="1:13" x14ac:dyDescent="0.4">
      <c r="A41" s="10" t="s">
        <v>60</v>
      </c>
      <c r="B41" s="10" t="s">
        <v>61</v>
      </c>
      <c r="C41" s="10" t="s">
        <v>37</v>
      </c>
      <c r="D41" s="10"/>
    </row>
    <row r="42" spans="1:13" x14ac:dyDescent="0.4">
      <c r="A42" s="10" t="s">
        <v>51</v>
      </c>
      <c r="B42" s="11" t="s">
        <v>52</v>
      </c>
      <c r="C42" s="11">
        <f>F37/M38</f>
        <v>0.94193986198248136</v>
      </c>
      <c r="D42" s="10" t="s">
        <v>53</v>
      </c>
    </row>
    <row r="43" spans="1:13" x14ac:dyDescent="0.4">
      <c r="A43" s="10" t="s">
        <v>55</v>
      </c>
      <c r="B43" s="11" t="s">
        <v>54</v>
      </c>
      <c r="C43" s="11">
        <f>F38/M37</f>
        <v>1.2804894896962413</v>
      </c>
      <c r="D43" s="10" t="s">
        <v>62</v>
      </c>
    </row>
    <row r="44" spans="1:13" x14ac:dyDescent="0.4">
      <c r="A44" s="10" t="s">
        <v>56</v>
      </c>
      <c r="B44" s="11" t="s">
        <v>58</v>
      </c>
      <c r="C44" s="11">
        <f>M37/F38</f>
        <v>0.78095135340565802</v>
      </c>
      <c r="D44" s="10" t="s">
        <v>53</v>
      </c>
    </row>
    <row r="45" spans="1:13" x14ac:dyDescent="0.4">
      <c r="A45" s="10" t="s">
        <v>57</v>
      </c>
      <c r="B45" s="11" t="s">
        <v>59</v>
      </c>
      <c r="C45" s="11">
        <f>M38/F37</f>
        <v>1.0616389011240279</v>
      </c>
      <c r="D45" s="10" t="s">
        <v>62</v>
      </c>
    </row>
    <row r="46" spans="1:13" x14ac:dyDescent="0.4">
      <c r="A46" s="6"/>
      <c r="B46" s="19"/>
      <c r="C46"/>
    </row>
    <row r="47" spans="1:13" x14ac:dyDescent="0.4">
      <c r="A47" s="6" t="s">
        <v>27</v>
      </c>
    </row>
    <row r="48" spans="1:13" x14ac:dyDescent="0.4">
      <c r="A48" s="10"/>
      <c r="B48" s="10" t="s">
        <v>6</v>
      </c>
      <c r="C48" s="10" t="s">
        <v>7</v>
      </c>
      <c r="D48" s="10" t="s">
        <v>12</v>
      </c>
    </row>
    <row r="49" spans="1:15" x14ac:dyDescent="0.4">
      <c r="A49" s="10" t="s">
        <v>8</v>
      </c>
      <c r="B49" s="10">
        <f>B37+I37</f>
        <v>200</v>
      </c>
      <c r="C49" s="10">
        <f>C37+J37</f>
        <v>235</v>
      </c>
      <c r="D49" s="10">
        <f>B49-C49</f>
        <v>-35</v>
      </c>
    </row>
    <row r="50" spans="1:15" x14ac:dyDescent="0.4">
      <c r="A50" s="10" t="s">
        <v>9</v>
      </c>
      <c r="B50" s="10">
        <f>B38+I38</f>
        <v>360.8</v>
      </c>
      <c r="C50" s="10">
        <f>C38+J38</f>
        <v>100</v>
      </c>
      <c r="D50" s="10">
        <f>B50-C50</f>
        <v>260.8</v>
      </c>
    </row>
    <row r="52" spans="1:15" s="20" customFormat="1" x14ac:dyDescent="0.4">
      <c r="A52" s="20" t="s">
        <v>72</v>
      </c>
    </row>
    <row r="53" spans="1:15" x14ac:dyDescent="0.4">
      <c r="A53" s="10"/>
      <c r="B53" s="10" t="s">
        <v>2</v>
      </c>
      <c r="C53" s="10" t="s">
        <v>42</v>
      </c>
      <c r="D53" s="10" t="s">
        <v>4</v>
      </c>
      <c r="E53" s="10" t="s">
        <v>5</v>
      </c>
    </row>
    <row r="54" spans="1:15" x14ac:dyDescent="0.4">
      <c r="A54" s="10" t="s">
        <v>67</v>
      </c>
      <c r="B54" s="11">
        <f>C9*F37 + E9*F38</f>
        <v>6.498349693908521</v>
      </c>
      <c r="C54" s="11">
        <f>C9*F37 + E9*F38</f>
        <v>6.498349693908521</v>
      </c>
      <c r="D54" s="11">
        <f>C9*M37 + E9*M38</f>
        <v>8.7654422184120993</v>
      </c>
      <c r="E54" s="11">
        <f>C9*M37 + E9*M38</f>
        <v>8.7654422184120993</v>
      </c>
    </row>
    <row r="55" spans="1:15" x14ac:dyDescent="0.4">
      <c r="A55" s="10" t="s">
        <v>68</v>
      </c>
      <c r="B55" s="11">
        <f>C10*F37 + E10*F38</f>
        <v>29.924662874379642</v>
      </c>
      <c r="C55" s="11">
        <f>C10*F37 + E10*F38</f>
        <v>29.924662874379642</v>
      </c>
      <c r="D55" s="11">
        <f>C10*M37 + E10*M38</f>
        <v>36.151896045784447</v>
      </c>
      <c r="E55" s="11">
        <f>C10*M37 + E10*M38</f>
        <v>36.151896045784447</v>
      </c>
    </row>
    <row r="57" spans="1:15" x14ac:dyDescent="0.4">
      <c r="A57" s="6" t="s">
        <v>22</v>
      </c>
    </row>
    <row r="58" spans="1:15" x14ac:dyDescent="0.4">
      <c r="A58" s="2" t="s">
        <v>16</v>
      </c>
      <c r="B58" s="2"/>
      <c r="C58" s="2"/>
      <c r="E58" s="2" t="s">
        <v>17</v>
      </c>
      <c r="F58" s="2"/>
      <c r="G58" s="2"/>
      <c r="I58" s="5" t="s">
        <v>18</v>
      </c>
      <c r="J58" s="4"/>
      <c r="K58" s="4"/>
      <c r="M58" s="5" t="s">
        <v>19</v>
      </c>
      <c r="N58" s="4"/>
      <c r="O58" s="4"/>
    </row>
    <row r="59" spans="1:15" x14ac:dyDescent="0.4">
      <c r="A59" s="2"/>
      <c r="B59" s="2" t="s">
        <v>0</v>
      </c>
      <c r="C59" s="2" t="s">
        <v>1</v>
      </c>
      <c r="E59" s="2"/>
      <c r="F59" s="2" t="s">
        <v>0</v>
      </c>
      <c r="G59" s="2" t="s">
        <v>1</v>
      </c>
      <c r="I59" s="4"/>
      <c r="J59" s="4" t="s">
        <v>0</v>
      </c>
      <c r="K59" s="4" t="s">
        <v>1</v>
      </c>
      <c r="M59" s="4"/>
      <c r="N59" s="4" t="s">
        <v>0</v>
      </c>
      <c r="O59" s="4" t="s">
        <v>1</v>
      </c>
    </row>
    <row r="60" spans="1:15" x14ac:dyDescent="0.4">
      <c r="A60" s="2" t="s">
        <v>0</v>
      </c>
      <c r="B60" s="2"/>
      <c r="C60" s="2">
        <f>MAX(0, MIN(-T26,I26))</f>
        <v>10</v>
      </c>
      <c r="E60" s="2" t="s">
        <v>0</v>
      </c>
      <c r="F60" s="2"/>
      <c r="G60" s="2">
        <f>MAX(0, MIN(-T27,I27))</f>
        <v>0</v>
      </c>
      <c r="I60" s="4" t="s">
        <v>0</v>
      </c>
      <c r="J60" s="4"/>
      <c r="K60" s="4">
        <f>MAX(0,MIN(-T31,I31))</f>
        <v>0</v>
      </c>
      <c r="M60" s="4" t="s">
        <v>0</v>
      </c>
      <c r="N60" s="4"/>
      <c r="O60" s="4">
        <f>MAX(0,MIN(-T32,I32))</f>
        <v>0</v>
      </c>
    </row>
    <row r="61" spans="1:15" x14ac:dyDescent="0.4">
      <c r="A61" s="2" t="s">
        <v>1</v>
      </c>
      <c r="B61" s="2">
        <f>MAX(0, MIN(-I26,T26))</f>
        <v>0</v>
      </c>
      <c r="C61" s="2"/>
      <c r="E61" s="2" t="s">
        <v>1</v>
      </c>
      <c r="F61" s="2">
        <f>MAX(0, MIN(-I27,T27))</f>
        <v>10</v>
      </c>
      <c r="G61" s="2"/>
      <c r="I61" s="4" t="s">
        <v>1</v>
      </c>
      <c r="J61" s="4">
        <f>MAX(0, MIN(-I31,T31))</f>
        <v>0</v>
      </c>
      <c r="K61" s="4"/>
      <c r="M61" s="4" t="s">
        <v>1</v>
      </c>
      <c r="N61" s="4">
        <f>MAX(0, MIN(-I32,T32))</f>
        <v>30</v>
      </c>
      <c r="O61" s="4"/>
    </row>
    <row r="63" spans="1:15" x14ac:dyDescent="0.4">
      <c r="A63" s="6" t="s">
        <v>23</v>
      </c>
    </row>
    <row r="64" spans="1:15" x14ac:dyDescent="0.4">
      <c r="A64" s="9" t="s">
        <v>65</v>
      </c>
      <c r="B64" s="9"/>
      <c r="C64" s="9"/>
      <c r="E64" s="9" t="s">
        <v>64</v>
      </c>
      <c r="F64" s="9"/>
      <c r="G64" s="9"/>
    </row>
    <row r="65" spans="1:7" x14ac:dyDescent="0.4">
      <c r="A65" s="9"/>
      <c r="B65" s="9" t="s">
        <v>11</v>
      </c>
      <c r="C65" s="9" t="s">
        <v>13</v>
      </c>
      <c r="E65" s="9"/>
      <c r="F65" s="9" t="s">
        <v>11</v>
      </c>
      <c r="G65" s="9" t="s">
        <v>13</v>
      </c>
    </row>
    <row r="66" spans="1:7" x14ac:dyDescent="0.4">
      <c r="A66" s="9" t="s">
        <v>11</v>
      </c>
      <c r="B66" s="9"/>
      <c r="C66" s="9">
        <f>MAX(0,MIN(-K37,D37))</f>
        <v>40</v>
      </c>
      <c r="E66" s="9" t="s">
        <v>11</v>
      </c>
      <c r="F66" s="9"/>
      <c r="G66" s="9">
        <f>MAX(0,MIN(-K38,D38))</f>
        <v>0</v>
      </c>
    </row>
    <row r="67" spans="1:7" x14ac:dyDescent="0.4">
      <c r="A67" s="9" t="s">
        <v>13</v>
      </c>
      <c r="B67" s="9">
        <f>MAX(0,MIN(-D37,K37))</f>
        <v>0</v>
      </c>
      <c r="C67" s="9"/>
      <c r="E67" s="9" t="s">
        <v>13</v>
      </c>
      <c r="F67" s="9">
        <f>MAX(0,MIN(-D38,K38))</f>
        <v>0</v>
      </c>
      <c r="G67" s="9"/>
    </row>
    <row r="69" spans="1:7" x14ac:dyDescent="0.4">
      <c r="A69" s="6" t="s">
        <v>24</v>
      </c>
      <c r="B69" s="6"/>
    </row>
    <row r="70" spans="1:7" x14ac:dyDescent="0.4">
      <c r="A70" s="7" t="s">
        <v>21</v>
      </c>
      <c r="B70" s="7"/>
      <c r="C70" s="7"/>
      <c r="D70" s="7"/>
      <c r="E70" s="7"/>
      <c r="F70" s="7"/>
      <c r="G70" s="7"/>
    </row>
    <row r="71" spans="1:7" x14ac:dyDescent="0.4">
      <c r="A71" s="7"/>
      <c r="B71" s="7" t="s">
        <v>12</v>
      </c>
      <c r="C71" s="7" t="s">
        <v>25</v>
      </c>
      <c r="D71" s="8" t="s">
        <v>26</v>
      </c>
      <c r="E71" s="7" t="s">
        <v>28</v>
      </c>
      <c r="F71" s="7" t="s">
        <v>31</v>
      </c>
      <c r="G71" s="7" t="s">
        <v>32</v>
      </c>
    </row>
    <row r="72" spans="1:7" x14ac:dyDescent="0.4">
      <c r="A72" s="7" t="s">
        <v>8</v>
      </c>
      <c r="B72" s="7">
        <f>D37+K37</f>
        <v>-35</v>
      </c>
      <c r="C72" s="7">
        <f>MAX(0,-(E72-B4)*C49)</f>
        <v>11.499999999999996</v>
      </c>
      <c r="D72" s="7">
        <f>MAX(0,(E72-B4)*C49)</f>
        <v>0</v>
      </c>
      <c r="E72" s="14">
        <f>MAX(-1, MIN(1, (D49) / MAX(C49, 0.001)))</f>
        <v>-0.14893617021276595</v>
      </c>
      <c r="F72" s="14">
        <f>E72-B4</f>
        <v>-4.8936170212765945E-2</v>
      </c>
      <c r="G72" s="7">
        <f>-(F72*C49)</f>
        <v>11.499999999999996</v>
      </c>
    </row>
    <row r="73" spans="1:7" x14ac:dyDescent="0.4">
      <c r="A73" s="7" t="s">
        <v>9</v>
      </c>
      <c r="B73" s="7">
        <f>D38+K38</f>
        <v>260.8</v>
      </c>
      <c r="C73" s="7">
        <f>MAX(0,-(E73-B5)*C50)</f>
        <v>0</v>
      </c>
      <c r="D73" s="7">
        <f>MAX(0,(E73-B5)*C50)</f>
        <v>110.00000000000001</v>
      </c>
      <c r="E73" s="14">
        <f>MAX(-1, MIN(1, (D50) / MAX(C50, 0.001)))</f>
        <v>1</v>
      </c>
      <c r="F73" s="14">
        <f>E73-B5</f>
        <v>1.1000000000000001</v>
      </c>
      <c r="G73" s="7">
        <f>-(F73*C50)</f>
        <v>-110.00000000000001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Layer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Gähler, Ron</dc:creator>
  <cp:lastModifiedBy>Gähler, Ron</cp:lastModifiedBy>
  <dcterms:created xsi:type="dcterms:W3CDTF">2026-05-25T17:25:22Z</dcterms:created>
  <dcterms:modified xsi:type="dcterms:W3CDTF">2026-05-27T14:16:14Z</dcterms:modified>
</cp:coreProperties>
</file>